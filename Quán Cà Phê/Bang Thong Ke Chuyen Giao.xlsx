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h\Desktop\Quán Cà Phê\"/>
    </mc:Choice>
  </mc:AlternateContent>
  <xr:revisionPtr revIDLastSave="0" documentId="8_{F594B802-5BAE-47B1-8F6F-79343257671C}" xr6:coauthVersionLast="47" xr6:coauthVersionMax="47" xr10:uidLastSave="{00000000-0000-0000-0000-000000000000}"/>
  <bookViews>
    <workbookView xWindow="-108" yWindow="-108" windowWidth="23256" windowHeight="13176" xr2:uid="{707C7398-8DAD-400C-AD92-4746DF617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5" i="1"/>
  <c r="F27" i="1"/>
  <c r="F29" i="1"/>
  <c r="F30" i="1"/>
  <c r="F33" i="1"/>
  <c r="E20" i="1"/>
  <c r="F20" i="1" s="1"/>
  <c r="E21" i="1"/>
  <c r="E22" i="1"/>
  <c r="E23" i="1"/>
  <c r="F23" i="1" s="1"/>
  <c r="E24" i="1"/>
  <c r="F24" i="1" s="1"/>
  <c r="E25" i="1"/>
  <c r="E26" i="1"/>
  <c r="F26" i="1" s="1"/>
  <c r="E27" i="1"/>
  <c r="E28" i="1"/>
  <c r="F28" i="1" s="1"/>
  <c r="E29" i="1"/>
  <c r="E30" i="1"/>
  <c r="E31" i="1"/>
  <c r="F31" i="1" s="1"/>
  <c r="E32" i="1"/>
  <c r="F32" i="1" s="1"/>
  <c r="E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E13" i="1"/>
  <c r="E8" i="1"/>
  <c r="E7" i="1"/>
  <c r="E6" i="1"/>
  <c r="E5" i="1"/>
  <c r="E4" i="1"/>
  <c r="E3" i="1"/>
  <c r="D9" i="1"/>
  <c r="D10" i="1"/>
  <c r="D11" i="1"/>
  <c r="D12" i="1"/>
  <c r="D14" i="1"/>
  <c r="D17" i="1" s="1"/>
  <c r="D15" i="1"/>
  <c r="E15" i="1"/>
  <c r="E14" i="1"/>
  <c r="F34" i="1" l="1"/>
  <c r="E34" i="1"/>
</calcChain>
</file>

<file path=xl/sharedStrings.xml><?xml version="1.0" encoding="utf-8"?>
<sst xmlns="http://schemas.openxmlformats.org/spreadsheetml/2006/main" count="71" uniqueCount="31">
  <si>
    <t>sản phẩm</t>
  </si>
  <si>
    <t>bò cụng</t>
  </si>
  <si>
    <t>revive</t>
  </si>
  <si>
    <t>olong</t>
  </si>
  <si>
    <t>bí đao</t>
  </si>
  <si>
    <t>coca</t>
  </si>
  <si>
    <t>gói</t>
  </si>
  <si>
    <t>Jet</t>
  </si>
  <si>
    <t>Mèo</t>
  </si>
  <si>
    <t>Sài Gòn Bạc</t>
  </si>
  <si>
    <t>kg</t>
  </si>
  <si>
    <t>Cà phê</t>
  </si>
  <si>
    <t>C2</t>
  </si>
  <si>
    <t>Number 1</t>
  </si>
  <si>
    <t>Đậu nành</t>
  </si>
  <si>
    <t>Lốc</t>
  </si>
  <si>
    <t>Thăng Lốcong</t>
  </si>
  <si>
    <t>Chai</t>
  </si>
  <si>
    <t>Số Lượng</t>
  </si>
  <si>
    <t>Đơn Vị</t>
  </si>
  <si>
    <t>Sản Phẩm</t>
  </si>
  <si>
    <t>Vốn/Lốc</t>
  </si>
  <si>
    <t>Vốn/SP</t>
  </si>
  <si>
    <t>Giá Bán</t>
  </si>
  <si>
    <t>Tổng</t>
  </si>
  <si>
    <t>Ly</t>
  </si>
  <si>
    <t>Gói</t>
  </si>
  <si>
    <t>Dự Kiến</t>
  </si>
  <si>
    <t>Tổng Bán Dự Kiến</t>
  </si>
  <si>
    <t>Lời Dự Kiến</t>
  </si>
  <si>
    <t>Bảng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</si>
</sst>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6"/>
      <color theme="1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17196-BA32-4D1B-973F-DEE7798C798D}" name="Table1" displayName="Table1" ref="A2:F17" totalsRowCount="1" headerRowDxfId="29" dataDxfId="28">
  <autoFilter ref="A2:F16" xr:uid="{50E17196-BA32-4D1B-973F-DEE7798C798D}"/>
  <tableColumns count="6">
    <tableColumn id="1" xr3:uid="{126A9530-F182-4327-89F1-158CBDD27ECE}" name="Số Lượng" totalsRowLabel="Tổng" dataDxfId="27" totalsRowDxfId="5"/>
    <tableColumn id="2" xr3:uid="{0D15DEC1-48F3-437C-A914-4CD6D3BC40FE}" name="Đơn Vị" dataDxfId="26" totalsRowDxfId="4"/>
    <tableColumn id="3" xr3:uid="{280F3751-6C04-4620-9484-3E9148D58170}" name="Sản Phẩm" dataDxfId="25" totalsRowDxfId="3">
      <calculatedColumnFormula>PROPER(J3)</calculatedColumnFormula>
    </tableColumn>
    <tableColumn id="4" xr3:uid="{377D290F-F330-4343-89D1-57D69235EEC3}" name="Vốn/Lốc" totalsRowFunction="sum" dataDxfId="24" totalsRowDxfId="2"/>
    <tableColumn id="5" xr3:uid="{9D5E9FE7-A894-455A-AC4B-F6B7CC243FBC}" name="Vốn/SP" dataDxfId="23" totalsRowDxfId="1"/>
    <tableColumn id="6" xr3:uid="{900F3183-E614-48A5-8F57-8065BF0DDCDC}" name="Giá Bán" dataDxfId="22" totalsRowDxfId="0"/>
  </tableColumns>
  <tableStyleInfo name="TableStyleLight1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8D9CC-D7A3-4D76-AEA9-D90888777CDB}" name="Table2" displayName="Table2" ref="A19:F34" totalsRowCount="1" headerRowDxfId="15" dataDxfId="16" headerRowBorderDxfId="20" tableBorderDxfId="21">
  <autoFilter ref="A19:F33" xr:uid="{1948D9CC-D7A3-4D76-AEA9-D90888777CDB}"/>
  <tableColumns count="6">
    <tableColumn id="1" xr3:uid="{83DE75EC-63C3-43BF-B1F6-3596234CCB21}" name="Số Lượng" totalsRowLabel="Tổng" dataDxfId="19" totalsRowDxfId="11"/>
    <tableColumn id="2" xr3:uid="{BA7FFD83-CF81-4673-BA00-84C980D17DB9}" name="Đơn Vị" dataDxfId="18" totalsRowDxfId="10"/>
    <tableColumn id="3" xr3:uid="{2F26AD67-C1AF-4D03-8A7E-169081DE2BAE}" name="Sản Phẩm" dataDxfId="17" totalsRowDxfId="9">
      <calculatedColumnFormula>PROPER(L20)</calculatedColumnFormula>
    </tableColumn>
    <tableColumn id="4" xr3:uid="{7834EF16-4040-416C-A2D6-95505D23DC80}" name="Giá Bán" dataDxfId="14" totalsRowDxfId="8"/>
    <tableColumn id="6" xr3:uid="{F6444D06-52B5-47FC-859C-E99B171D6BAC}" name="Tổng Bán Dự Kiến" totalsRowFunction="sum" dataDxfId="13" totalsRowDxfId="7">
      <calculatedColumnFormula>Table2[[#This Row],[Giá Bán]]*Table2[[#This Row],[Số Lượng]]</calculatedColumnFormula>
    </tableColumn>
    <tableColumn id="8" xr3:uid="{57997876-138B-4966-9C99-BAC199904998}" name="Lời Dự Kiến" totalsRowFunction="sum" dataDxfId="12" totalsRowDxfId="6">
      <calculatedColumnFormula>Table2[[#This Row],[Tổng Bán Dự Kiến]]-D3</calculatedColumnFormula>
    </tableColumn>
  </tableColumns>
  <tableStyleInfo name="TableStyleLight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345D-CA9F-404A-8890-E96A7CE00DBB}">
  <dimension ref="A1:L34"/>
  <sheetViews>
    <sheetView tabSelected="1" zoomScale="67" workbookViewId="0">
      <selection activeCell="S17" sqref="S17"/>
    </sheetView>
  </sheetViews>
  <sheetFormatPr defaultRowHeight="13.8" x14ac:dyDescent="0.25"/>
  <cols>
    <col min="1" max="4" width="15.69921875" customWidth="1"/>
    <col min="5" max="5" width="24.3984375" bestFit="1" customWidth="1"/>
    <col min="6" max="6" width="18.09765625" bestFit="1" customWidth="1"/>
  </cols>
  <sheetData>
    <row r="1" spans="1:10" ht="33" x14ac:dyDescent="0.6">
      <c r="A1" s="8" t="s">
        <v>30</v>
      </c>
      <c r="B1" s="8"/>
      <c r="C1" s="8"/>
      <c r="D1" s="8"/>
      <c r="E1" s="8"/>
      <c r="F1" s="8"/>
    </row>
    <row r="2" spans="1:10" ht="15.6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J2" s="2" t="s">
        <v>0</v>
      </c>
    </row>
    <row r="3" spans="1:10" ht="15" x14ac:dyDescent="0.25">
      <c r="A3" s="1">
        <v>1</v>
      </c>
      <c r="B3" s="1" t="s">
        <v>15</v>
      </c>
      <c r="C3" s="1" t="str">
        <f>PROPER(J3)</f>
        <v>247</v>
      </c>
      <c r="D3" s="1">
        <v>47</v>
      </c>
      <c r="E3" s="1">
        <f>47/6</f>
        <v>7.833333333333333</v>
      </c>
      <c r="F3" s="1">
        <v>20</v>
      </c>
      <c r="J3" s="3">
        <v>247</v>
      </c>
    </row>
    <row r="4" spans="1:10" ht="15" x14ac:dyDescent="0.25">
      <c r="A4" s="1">
        <v>1</v>
      </c>
      <c r="B4" s="1" t="s">
        <v>15</v>
      </c>
      <c r="C4" s="1" t="str">
        <f t="shared" ref="C4:C16" si="0">PROPER(J4)</f>
        <v>Bò Cụng</v>
      </c>
      <c r="D4" s="1">
        <v>68</v>
      </c>
      <c r="E4" s="1">
        <f>68/6</f>
        <v>11.333333333333334</v>
      </c>
      <c r="F4" s="1">
        <v>20</v>
      </c>
      <c r="J4" s="1" t="s">
        <v>1</v>
      </c>
    </row>
    <row r="5" spans="1:10" ht="15" x14ac:dyDescent="0.25">
      <c r="A5" s="1">
        <v>1</v>
      </c>
      <c r="B5" s="1" t="s">
        <v>15</v>
      </c>
      <c r="C5" s="1" t="str">
        <f t="shared" si="0"/>
        <v>Revive</v>
      </c>
      <c r="D5" s="1">
        <v>42</v>
      </c>
      <c r="E5" s="1">
        <f>42/6</f>
        <v>7</v>
      </c>
      <c r="F5" s="1">
        <v>20</v>
      </c>
      <c r="J5" s="3" t="s">
        <v>2</v>
      </c>
    </row>
    <row r="6" spans="1:10" ht="15" x14ac:dyDescent="0.25">
      <c r="A6" s="1">
        <v>1</v>
      </c>
      <c r="B6" s="1" t="s">
        <v>15</v>
      </c>
      <c r="C6" s="1" t="str">
        <f t="shared" si="0"/>
        <v>Olong</v>
      </c>
      <c r="D6" s="1">
        <v>44</v>
      </c>
      <c r="E6" s="1">
        <f>44/6</f>
        <v>7.333333333333333</v>
      </c>
      <c r="F6" s="1">
        <v>20</v>
      </c>
      <c r="J6" s="1" t="s">
        <v>3</v>
      </c>
    </row>
    <row r="7" spans="1:10" ht="15" x14ac:dyDescent="0.25">
      <c r="A7" s="1">
        <v>1</v>
      </c>
      <c r="B7" s="1" t="s">
        <v>15</v>
      </c>
      <c r="C7" s="1" t="str">
        <f t="shared" si="0"/>
        <v>Bí Đao</v>
      </c>
      <c r="D7" s="1">
        <v>42</v>
      </c>
      <c r="E7" s="1">
        <f>42/6</f>
        <v>7</v>
      </c>
      <c r="F7" s="1">
        <v>20</v>
      </c>
      <c r="J7" s="3" t="s">
        <v>4</v>
      </c>
    </row>
    <row r="8" spans="1:10" ht="15" x14ac:dyDescent="0.25">
      <c r="A8" s="1">
        <v>2</v>
      </c>
      <c r="B8" s="1" t="s">
        <v>15</v>
      </c>
      <c r="C8" s="1" t="str">
        <f t="shared" si="0"/>
        <v>Coca</v>
      </c>
      <c r="D8" s="1">
        <v>90</v>
      </c>
      <c r="E8" s="1">
        <f>90/6</f>
        <v>15</v>
      </c>
      <c r="F8" s="1">
        <v>20</v>
      </c>
      <c r="J8" s="1" t="s">
        <v>5</v>
      </c>
    </row>
    <row r="9" spans="1:10" ht="15" x14ac:dyDescent="0.25">
      <c r="A9" s="1">
        <v>5</v>
      </c>
      <c r="B9" s="1" t="s">
        <v>6</v>
      </c>
      <c r="C9" s="1" t="str">
        <f t="shared" si="0"/>
        <v>Jet</v>
      </c>
      <c r="D9" s="1">
        <f>22*5</f>
        <v>110</v>
      </c>
      <c r="E9" s="1">
        <v>22</v>
      </c>
      <c r="F9" s="1">
        <v>30</v>
      </c>
      <c r="J9" s="3" t="s">
        <v>7</v>
      </c>
    </row>
    <row r="10" spans="1:10" ht="15" x14ac:dyDescent="0.25">
      <c r="A10" s="1">
        <v>5</v>
      </c>
      <c r="B10" s="1" t="s">
        <v>6</v>
      </c>
      <c r="C10" s="1" t="str">
        <f t="shared" si="0"/>
        <v>Mèo</v>
      </c>
      <c r="D10" s="1">
        <f>15*5</f>
        <v>75</v>
      </c>
      <c r="E10" s="1">
        <v>15</v>
      </c>
      <c r="F10" s="1">
        <v>20</v>
      </c>
      <c r="J10" s="1" t="s">
        <v>8</v>
      </c>
    </row>
    <row r="11" spans="1:10" ht="15" x14ac:dyDescent="0.25">
      <c r="A11" s="1">
        <v>4</v>
      </c>
      <c r="B11" s="1" t="s">
        <v>6</v>
      </c>
      <c r="C11" s="1" t="str">
        <f t="shared" si="0"/>
        <v>Thăng Lốcong</v>
      </c>
      <c r="D11" s="1">
        <f>20*4</f>
        <v>80</v>
      </c>
      <c r="E11" s="1">
        <v>20</v>
      </c>
      <c r="F11" s="1">
        <v>20</v>
      </c>
      <c r="J11" s="3" t="s">
        <v>16</v>
      </c>
    </row>
    <row r="12" spans="1:10" ht="15" x14ac:dyDescent="0.25">
      <c r="A12" s="1">
        <v>4</v>
      </c>
      <c r="B12" s="1" t="s">
        <v>6</v>
      </c>
      <c r="C12" s="1" t="str">
        <f t="shared" si="0"/>
        <v>Sài Gòn Bạc</v>
      </c>
      <c r="D12" s="1">
        <f>20*4</f>
        <v>80</v>
      </c>
      <c r="E12" s="1">
        <v>20</v>
      </c>
      <c r="F12" s="1">
        <v>20</v>
      </c>
      <c r="J12" s="1" t="s">
        <v>9</v>
      </c>
    </row>
    <row r="13" spans="1:10" ht="15" x14ac:dyDescent="0.25">
      <c r="A13" s="1">
        <v>1</v>
      </c>
      <c r="B13" s="1" t="s">
        <v>15</v>
      </c>
      <c r="C13" s="1" t="str">
        <f t="shared" si="0"/>
        <v>Đậu Nành</v>
      </c>
      <c r="D13" s="1">
        <v>44</v>
      </c>
      <c r="E13" s="1">
        <f>44/6</f>
        <v>7.333333333333333</v>
      </c>
      <c r="F13" s="1">
        <v>20</v>
      </c>
      <c r="J13" s="3" t="s">
        <v>14</v>
      </c>
    </row>
    <row r="14" spans="1:10" ht="15" x14ac:dyDescent="0.25">
      <c r="A14" s="1">
        <v>4</v>
      </c>
      <c r="B14" s="1" t="s">
        <v>17</v>
      </c>
      <c r="C14" s="1" t="str">
        <f t="shared" si="0"/>
        <v>Number 1</v>
      </c>
      <c r="D14" s="1">
        <f>7.5*6</f>
        <v>45</v>
      </c>
      <c r="E14" s="1">
        <f>30/4</f>
        <v>7.5</v>
      </c>
      <c r="F14" s="1">
        <v>20</v>
      </c>
      <c r="J14" s="1" t="s">
        <v>13</v>
      </c>
    </row>
    <row r="15" spans="1:10" ht="15" x14ac:dyDescent="0.25">
      <c r="A15" s="1">
        <v>5</v>
      </c>
      <c r="B15" s="1" t="s">
        <v>17</v>
      </c>
      <c r="C15" s="1" t="str">
        <f t="shared" si="0"/>
        <v>C2</v>
      </c>
      <c r="D15" s="1">
        <f>8*6</f>
        <v>48</v>
      </c>
      <c r="E15" s="1">
        <f>40/5</f>
        <v>8</v>
      </c>
      <c r="F15" s="1">
        <v>20</v>
      </c>
      <c r="J15" s="3" t="s">
        <v>12</v>
      </c>
    </row>
    <row r="16" spans="1:10" ht="15" x14ac:dyDescent="0.25">
      <c r="A16" s="1">
        <v>2</v>
      </c>
      <c r="B16" s="1" t="s">
        <v>10</v>
      </c>
      <c r="C16" s="1" t="str">
        <f t="shared" si="0"/>
        <v>Cà Phê</v>
      </c>
      <c r="D16" s="1">
        <v>180</v>
      </c>
      <c r="E16" s="1">
        <v>180</v>
      </c>
      <c r="F16" s="1">
        <v>20</v>
      </c>
      <c r="J16" s="4" t="s">
        <v>11</v>
      </c>
    </row>
    <row r="17" spans="1:12" ht="15" x14ac:dyDescent="0.25">
      <c r="A17" s="1" t="s">
        <v>24</v>
      </c>
      <c r="B17" s="1"/>
      <c r="C17" s="1"/>
      <c r="D17" s="7">
        <f>SUBTOTAL(109,Table1[Vốn/Lốc])</f>
        <v>995</v>
      </c>
      <c r="E17" s="1"/>
      <c r="F17" s="1"/>
    </row>
    <row r="18" spans="1:12" ht="33" x14ac:dyDescent="0.6">
      <c r="A18" s="8" t="s">
        <v>27</v>
      </c>
      <c r="B18" s="8"/>
      <c r="C18" s="8"/>
      <c r="D18" s="8"/>
      <c r="E18" s="8"/>
      <c r="F18" s="8"/>
    </row>
    <row r="19" spans="1:12" ht="15.6" x14ac:dyDescent="0.25">
      <c r="A19" s="5" t="s">
        <v>18</v>
      </c>
      <c r="B19" s="5" t="s">
        <v>19</v>
      </c>
      <c r="C19" s="5" t="s">
        <v>20</v>
      </c>
      <c r="D19" s="5" t="s">
        <v>23</v>
      </c>
      <c r="E19" s="5" t="s">
        <v>28</v>
      </c>
      <c r="F19" s="5" t="s">
        <v>29</v>
      </c>
    </row>
    <row r="20" spans="1:12" ht="15" x14ac:dyDescent="0.25">
      <c r="A20" s="3">
        <v>6</v>
      </c>
      <c r="B20" s="3" t="s">
        <v>17</v>
      </c>
      <c r="C20" s="3" t="str">
        <f>PROPER(L20)</f>
        <v>247</v>
      </c>
      <c r="D20" s="1">
        <v>20</v>
      </c>
      <c r="E20" s="1">
        <f>Table2[[#This Row],[Giá Bán]]*Table2[[#This Row],[Số Lượng]]</f>
        <v>120</v>
      </c>
      <c r="F20" s="1">
        <f>Table2[[#This Row],[Tổng Bán Dự Kiến]]-D3</f>
        <v>73</v>
      </c>
      <c r="L20" s="3">
        <v>247</v>
      </c>
    </row>
    <row r="21" spans="1:12" ht="15" x14ac:dyDescent="0.25">
      <c r="A21" s="1">
        <v>6</v>
      </c>
      <c r="B21" s="6" t="s">
        <v>17</v>
      </c>
      <c r="C21" s="1" t="str">
        <f t="shared" ref="C21:C33" si="1">PROPER(L21)</f>
        <v>Bò Cụng</v>
      </c>
      <c r="D21" s="1">
        <v>20</v>
      </c>
      <c r="E21" s="1">
        <f>Table2[[#This Row],[Giá Bán]]*Table2[[#This Row],[Số Lượng]]</f>
        <v>120</v>
      </c>
      <c r="F21" s="1">
        <f>Table2[[#This Row],[Tổng Bán Dự Kiến]]-D4</f>
        <v>52</v>
      </c>
      <c r="L21" s="1" t="s">
        <v>1</v>
      </c>
    </row>
    <row r="22" spans="1:12" ht="15" x14ac:dyDescent="0.25">
      <c r="A22" s="3">
        <v>6</v>
      </c>
      <c r="B22" s="3" t="s">
        <v>17</v>
      </c>
      <c r="C22" s="3" t="str">
        <f t="shared" si="1"/>
        <v>Revive</v>
      </c>
      <c r="D22" s="1">
        <v>20</v>
      </c>
      <c r="E22" s="1">
        <f>Table2[[#This Row],[Giá Bán]]*Table2[[#This Row],[Số Lượng]]</f>
        <v>120</v>
      </c>
      <c r="F22" s="1">
        <f>Table2[[#This Row],[Tổng Bán Dự Kiến]]-D5</f>
        <v>78</v>
      </c>
      <c r="L22" s="3" t="s">
        <v>2</v>
      </c>
    </row>
    <row r="23" spans="1:12" ht="15" x14ac:dyDescent="0.25">
      <c r="A23" s="1">
        <v>6</v>
      </c>
      <c r="B23" s="6" t="s">
        <v>17</v>
      </c>
      <c r="C23" s="1" t="str">
        <f t="shared" si="1"/>
        <v>Olong</v>
      </c>
      <c r="D23" s="1">
        <v>20</v>
      </c>
      <c r="E23" s="1">
        <f>Table2[[#This Row],[Giá Bán]]*Table2[[#This Row],[Số Lượng]]</f>
        <v>120</v>
      </c>
      <c r="F23" s="1">
        <f>Table2[[#This Row],[Tổng Bán Dự Kiến]]-D6</f>
        <v>76</v>
      </c>
      <c r="L23" s="1" t="s">
        <v>3</v>
      </c>
    </row>
    <row r="24" spans="1:12" ht="15" x14ac:dyDescent="0.25">
      <c r="A24" s="3">
        <v>6</v>
      </c>
      <c r="B24" s="3" t="s">
        <v>17</v>
      </c>
      <c r="C24" s="3" t="str">
        <f t="shared" si="1"/>
        <v>Bí Đao</v>
      </c>
      <c r="D24" s="1">
        <v>20</v>
      </c>
      <c r="E24" s="1">
        <f>Table2[[#This Row],[Giá Bán]]*Table2[[#This Row],[Số Lượng]]</f>
        <v>120</v>
      </c>
      <c r="F24" s="1">
        <f>Table2[[#This Row],[Tổng Bán Dự Kiến]]-D7</f>
        <v>78</v>
      </c>
      <c r="L24" s="3" t="s">
        <v>4</v>
      </c>
    </row>
    <row r="25" spans="1:12" ht="15" x14ac:dyDescent="0.25">
      <c r="A25" s="1">
        <v>12</v>
      </c>
      <c r="B25" s="6" t="s">
        <v>17</v>
      </c>
      <c r="C25" s="1" t="str">
        <f t="shared" si="1"/>
        <v>Coca</v>
      </c>
      <c r="D25" s="1">
        <v>20</v>
      </c>
      <c r="E25" s="1">
        <f>Table2[[#This Row],[Giá Bán]]*Table2[[#This Row],[Số Lượng]]</f>
        <v>240</v>
      </c>
      <c r="F25" s="1">
        <f>Table2[[#This Row],[Tổng Bán Dự Kiến]]-D8</f>
        <v>150</v>
      </c>
      <c r="L25" s="1" t="s">
        <v>5</v>
      </c>
    </row>
    <row r="26" spans="1:12" ht="15" x14ac:dyDescent="0.25">
      <c r="A26" s="3">
        <v>5</v>
      </c>
      <c r="B26" s="3" t="s">
        <v>26</v>
      </c>
      <c r="C26" s="3" t="str">
        <f t="shared" si="1"/>
        <v>Jet</v>
      </c>
      <c r="D26" s="1">
        <v>30</v>
      </c>
      <c r="E26" s="1">
        <f>Table2[[#This Row],[Giá Bán]]*Table2[[#This Row],[Số Lượng]]</f>
        <v>150</v>
      </c>
      <c r="F26" s="1">
        <f>Table2[[#This Row],[Tổng Bán Dự Kiến]]-D9</f>
        <v>40</v>
      </c>
      <c r="L26" s="3" t="s">
        <v>7</v>
      </c>
    </row>
    <row r="27" spans="1:12" ht="15" x14ac:dyDescent="0.25">
      <c r="A27" s="1">
        <v>5</v>
      </c>
      <c r="B27" s="6" t="s">
        <v>26</v>
      </c>
      <c r="C27" s="1" t="str">
        <f t="shared" si="1"/>
        <v>Mèo</v>
      </c>
      <c r="D27" s="1">
        <v>20</v>
      </c>
      <c r="E27" s="1">
        <f>Table2[[#This Row],[Giá Bán]]*Table2[[#This Row],[Số Lượng]]</f>
        <v>100</v>
      </c>
      <c r="F27" s="1">
        <f>Table2[[#This Row],[Tổng Bán Dự Kiến]]-D10</f>
        <v>25</v>
      </c>
      <c r="L27" s="1" t="s">
        <v>8</v>
      </c>
    </row>
    <row r="28" spans="1:12" ht="15" x14ac:dyDescent="0.25">
      <c r="A28" s="3">
        <v>4</v>
      </c>
      <c r="B28" s="3" t="s">
        <v>26</v>
      </c>
      <c r="C28" s="3" t="str">
        <f t="shared" si="1"/>
        <v>Thăng Lốcong</v>
      </c>
      <c r="D28" s="1">
        <v>20</v>
      </c>
      <c r="E28" s="1">
        <f>Table2[[#This Row],[Giá Bán]]*Table2[[#This Row],[Số Lượng]]</f>
        <v>80</v>
      </c>
      <c r="F28" s="1">
        <f>Table2[[#This Row],[Tổng Bán Dự Kiến]]-D11</f>
        <v>0</v>
      </c>
      <c r="L28" s="3" t="s">
        <v>16</v>
      </c>
    </row>
    <row r="29" spans="1:12" ht="15" x14ac:dyDescent="0.25">
      <c r="A29" s="1">
        <v>4</v>
      </c>
      <c r="B29" s="6" t="s">
        <v>26</v>
      </c>
      <c r="C29" s="1" t="str">
        <f t="shared" si="1"/>
        <v>Sài Gòn Bạc</v>
      </c>
      <c r="D29" s="1">
        <v>20</v>
      </c>
      <c r="E29" s="1">
        <f>Table2[[#This Row],[Giá Bán]]*Table2[[#This Row],[Số Lượng]]</f>
        <v>80</v>
      </c>
      <c r="F29" s="1">
        <f>Table2[[#This Row],[Tổng Bán Dự Kiến]]-D12</f>
        <v>0</v>
      </c>
      <c r="L29" s="1" t="s">
        <v>9</v>
      </c>
    </row>
    <row r="30" spans="1:12" ht="15" x14ac:dyDescent="0.25">
      <c r="A30" s="3">
        <v>6</v>
      </c>
      <c r="B30" s="3" t="s">
        <v>17</v>
      </c>
      <c r="C30" s="3" t="str">
        <f t="shared" si="1"/>
        <v>Đậu Nành</v>
      </c>
      <c r="D30" s="1">
        <v>20</v>
      </c>
      <c r="E30" s="1">
        <f>Table2[[#This Row],[Giá Bán]]*Table2[[#This Row],[Số Lượng]]</f>
        <v>120</v>
      </c>
      <c r="F30" s="1">
        <f>Table2[[#This Row],[Tổng Bán Dự Kiến]]-D13</f>
        <v>76</v>
      </c>
      <c r="L30" s="3" t="s">
        <v>14</v>
      </c>
    </row>
    <row r="31" spans="1:12" ht="15" x14ac:dyDescent="0.25">
      <c r="A31" s="1">
        <v>4</v>
      </c>
      <c r="B31" s="6" t="s">
        <v>17</v>
      </c>
      <c r="C31" s="1" t="str">
        <f t="shared" si="1"/>
        <v>Number 1</v>
      </c>
      <c r="D31" s="1">
        <v>20</v>
      </c>
      <c r="E31" s="1">
        <f>Table2[[#This Row],[Giá Bán]]*Table2[[#This Row],[Số Lượng]]</f>
        <v>80</v>
      </c>
      <c r="F31" s="1">
        <f>Table2[[#This Row],[Tổng Bán Dự Kiến]]-D14</f>
        <v>35</v>
      </c>
      <c r="L31" s="1" t="s">
        <v>13</v>
      </c>
    </row>
    <row r="32" spans="1:12" ht="15" x14ac:dyDescent="0.25">
      <c r="A32" s="3">
        <v>5</v>
      </c>
      <c r="B32" s="3" t="s">
        <v>17</v>
      </c>
      <c r="C32" s="3" t="str">
        <f t="shared" si="1"/>
        <v>C2</v>
      </c>
      <c r="D32" s="1">
        <v>20</v>
      </c>
      <c r="E32" s="1">
        <f>Table2[[#This Row],[Giá Bán]]*Table2[[#This Row],[Số Lượng]]</f>
        <v>100</v>
      </c>
      <c r="F32" s="1">
        <f>Table2[[#This Row],[Tổng Bán Dự Kiến]]-D15</f>
        <v>52</v>
      </c>
      <c r="L32" s="3" t="s">
        <v>12</v>
      </c>
    </row>
    <row r="33" spans="1:12" ht="15" x14ac:dyDescent="0.25">
      <c r="A33" s="1">
        <v>50</v>
      </c>
      <c r="B33" s="6" t="s">
        <v>25</v>
      </c>
      <c r="C33" s="1" t="str">
        <f t="shared" si="1"/>
        <v>Cà Phê</v>
      </c>
      <c r="D33" s="1">
        <v>20</v>
      </c>
      <c r="E33" s="1">
        <f>Table2[[#This Row],[Giá Bán]]*Table2[[#This Row],[Số Lượng]]</f>
        <v>1000</v>
      </c>
      <c r="F33" s="1">
        <f>Table2[[#This Row],[Tổng Bán Dự Kiến]]-D16</f>
        <v>820</v>
      </c>
      <c r="L33" s="4" t="s">
        <v>11</v>
      </c>
    </row>
    <row r="34" spans="1:12" ht="15" x14ac:dyDescent="0.25">
      <c r="A34" s="1" t="s">
        <v>24</v>
      </c>
      <c r="B34" s="3"/>
      <c r="C34" s="1"/>
      <c r="D34" s="1"/>
      <c r="E34" s="7">
        <f>SUBTOTAL(109,Table2[Tổng Bán Dự Kiến])</f>
        <v>2550</v>
      </c>
      <c r="F34" s="7">
        <f>SUBTOTAL(109,Table2[Lời Dự Kiến])</f>
        <v>1555</v>
      </c>
    </row>
  </sheetData>
  <mergeCells count="2">
    <mergeCell ref="A1:F1"/>
    <mergeCell ref="A18:F18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Phú Phạm</dc:creator>
  <cp:lastModifiedBy>Thành Phú Phạm</cp:lastModifiedBy>
  <dcterms:created xsi:type="dcterms:W3CDTF">2025-05-02T12:25:44Z</dcterms:created>
  <dcterms:modified xsi:type="dcterms:W3CDTF">2025-05-02T13:06:00Z</dcterms:modified>
</cp:coreProperties>
</file>